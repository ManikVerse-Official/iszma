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F9189214-3753-4D4B-89FA-7DE290DFA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1" l="1"/>
  <c r="AT7" i="1"/>
  <c r="AS8" i="1"/>
  <c r="AT8" i="1"/>
  <c r="AS9" i="1"/>
  <c r="AT9" i="1"/>
  <c r="AS10" i="1"/>
  <c r="AT10" i="1"/>
  <c r="AS11" i="1"/>
  <c r="AT11" i="1"/>
  <c r="AS12" i="1"/>
  <c r="AT12" i="1"/>
  <c r="AS13" i="1"/>
  <c r="AT13" i="1"/>
  <c r="AS14" i="1"/>
  <c r="AT14" i="1"/>
  <c r="AS15" i="1"/>
  <c r="AT15" i="1"/>
  <c r="AS16" i="1"/>
  <c r="AT16" i="1"/>
  <c r="AS17" i="1"/>
  <c r="AT17" i="1"/>
  <c r="AS18" i="1"/>
  <c r="AT18" i="1"/>
  <c r="AS19" i="1"/>
  <c r="AT19" i="1"/>
</calcChain>
</file>

<file path=xl/sharedStrings.xml><?xml version="1.0" encoding="utf-8"?>
<sst xmlns="http://schemas.openxmlformats.org/spreadsheetml/2006/main" count="142" uniqueCount="74">
  <si>
    <t xml:space="preserve"> Student Name </t>
  </si>
  <si>
    <t xml:space="preserve">Father name </t>
  </si>
  <si>
    <t>English</t>
  </si>
  <si>
    <t>Hindi</t>
  </si>
  <si>
    <t>Math</t>
  </si>
  <si>
    <t>GK</t>
  </si>
  <si>
    <t>Drawing</t>
  </si>
  <si>
    <t>S.No</t>
  </si>
  <si>
    <t>Parinidi Saini</t>
  </si>
  <si>
    <t>Navjot Kaur</t>
  </si>
  <si>
    <t xml:space="preserve">Daman </t>
  </si>
  <si>
    <t>Mr.Vikram</t>
  </si>
  <si>
    <t xml:space="preserve">Aarav  </t>
  </si>
  <si>
    <t>Aarav  koushish</t>
  </si>
  <si>
    <t>Mr.Naveen kumar</t>
  </si>
  <si>
    <t>Arman</t>
  </si>
  <si>
    <t>Mr.Sanjeev Kumar</t>
  </si>
  <si>
    <t>Yuvraj</t>
  </si>
  <si>
    <t>Mr. Rajnish Kumar</t>
  </si>
  <si>
    <t xml:space="preserve">Mr. Ashok Kumar </t>
  </si>
  <si>
    <t>Pihu Charan</t>
  </si>
  <si>
    <t>Anshika</t>
  </si>
  <si>
    <t>Mr.Dinesh Kumar</t>
  </si>
  <si>
    <t>PT</t>
  </si>
  <si>
    <t>NB</t>
  </si>
  <si>
    <t>SEA</t>
  </si>
  <si>
    <t>SA1</t>
  </si>
  <si>
    <t>Total</t>
  </si>
  <si>
    <t>A2</t>
  </si>
  <si>
    <t>B1</t>
  </si>
  <si>
    <t>A1</t>
  </si>
  <si>
    <t>B2</t>
  </si>
  <si>
    <t>%</t>
  </si>
  <si>
    <t>TOTAL</t>
  </si>
  <si>
    <t>M.V.</t>
  </si>
  <si>
    <t>Mr.Chouhal Singh</t>
  </si>
  <si>
    <t>Jatin Rathour</t>
  </si>
  <si>
    <t xml:space="preserve">Science </t>
  </si>
  <si>
    <t>Social Science</t>
  </si>
  <si>
    <t xml:space="preserve">Computer </t>
  </si>
  <si>
    <t xml:space="preserve">Punjabi/Sanskrit </t>
  </si>
  <si>
    <t xml:space="preserve">Position </t>
  </si>
  <si>
    <t xml:space="preserve">Attendance </t>
  </si>
  <si>
    <t xml:space="preserve">                                                                CLASS-7th.  (Mid Term Examination)</t>
  </si>
  <si>
    <t>SHAHEED BHAGAT SINGH PUBLIC SCHOOL(2026 - 27)</t>
  </si>
  <si>
    <t>Adm</t>
  </si>
  <si>
    <t xml:space="preserve">No. </t>
  </si>
  <si>
    <t xml:space="preserve">Mother </t>
  </si>
  <si>
    <t>Name</t>
  </si>
  <si>
    <t>Rishap</t>
  </si>
  <si>
    <t>Mr. Krishan</t>
  </si>
  <si>
    <t>Khnika</t>
  </si>
  <si>
    <t>Mr. Mukesh Kumar</t>
  </si>
  <si>
    <t>Mr. Love Kumar</t>
  </si>
  <si>
    <t>Mr. Arvind Kumar</t>
  </si>
  <si>
    <t>Arindam Kumari</t>
  </si>
  <si>
    <t>Mr. Rohit Kumar</t>
  </si>
  <si>
    <t>Mrs Vishu Saini</t>
  </si>
  <si>
    <t>Mrs. Monika Rani</t>
  </si>
  <si>
    <t>Mrs. Bimla Devi</t>
  </si>
  <si>
    <t>Mrs. Mandeep Kaur</t>
  </si>
  <si>
    <t>Mrs. Promila</t>
  </si>
  <si>
    <t>Mr. Sukhvinder Singh</t>
  </si>
  <si>
    <t>Mrs. Reena Devi</t>
  </si>
  <si>
    <t>Mrs. Namita Rani</t>
  </si>
  <si>
    <t>Mrs. Vipin</t>
  </si>
  <si>
    <t>Mrs. Poonam</t>
  </si>
  <si>
    <t>Mrs. Rekha</t>
  </si>
  <si>
    <t>Mrs. Kamisha Devi</t>
  </si>
  <si>
    <t>Mrs. Renu</t>
  </si>
  <si>
    <t xml:space="preserve">Mrs. Shiwani Devi </t>
  </si>
  <si>
    <t>3rd</t>
  </si>
  <si>
    <t>2nd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</si>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</sst>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W19"/>
  <sheetViews>
    <sheetView tabSelected="1" topLeftCell="AC1" workbookViewId="0">
      <selection activeCell="AV3" sqref="AV3"/>
    </sheetView>
  </sheetViews>
  <sheetFormatPr defaultRowHeight="15" x14ac:dyDescent="0.2"/>
  <cols>
    <col min="1" max="1" width="0" hidden="1" customWidth="1"/>
    <col min="2" max="2" width="3.2265625" customWidth="1"/>
    <col min="3" max="3" width="6.05078125" customWidth="1"/>
    <col min="4" max="4" width="10.76171875" style="4" customWidth="1"/>
    <col min="5" max="6" width="11.1640625" style="4" customWidth="1"/>
    <col min="7" max="41" width="3.09375" style="10" customWidth="1"/>
    <col min="42" max="43" width="3.49609375" style="10" customWidth="1"/>
    <col min="44" max="45" width="3.8984375" customWidth="1"/>
    <col min="46" max="46" width="5.91796875" style="11" customWidth="1"/>
  </cols>
  <sheetData>
    <row r="1" spans="2:49" x14ac:dyDescent="0.2">
      <c r="B1" s="48" t="s">
        <v>44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2:49" x14ac:dyDescent="0.2">
      <c r="B2" s="49" t="s">
        <v>43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</row>
    <row r="3" spans="2:49" ht="31.9" customHeight="1" x14ac:dyDescent="0.2">
      <c r="B3" s="42" t="s">
        <v>7</v>
      </c>
      <c r="C3" s="39"/>
      <c r="D3" s="42" t="s">
        <v>0</v>
      </c>
      <c r="E3" s="42" t="s">
        <v>1</v>
      </c>
      <c r="F3" s="36"/>
      <c r="G3" s="52" t="s">
        <v>2</v>
      </c>
      <c r="H3" s="52"/>
      <c r="I3" s="52"/>
      <c r="J3" s="52"/>
      <c r="K3" s="52"/>
      <c r="L3" s="53" t="s">
        <v>3</v>
      </c>
      <c r="M3" s="53"/>
      <c r="N3" s="53"/>
      <c r="O3" s="53"/>
      <c r="P3" s="53"/>
      <c r="Q3" s="54" t="s">
        <v>4</v>
      </c>
      <c r="R3" s="54"/>
      <c r="S3" s="54"/>
      <c r="T3" s="54"/>
      <c r="U3" s="54"/>
      <c r="V3" s="55" t="s">
        <v>37</v>
      </c>
      <c r="W3" s="55"/>
      <c r="X3" s="55"/>
      <c r="Y3" s="55"/>
      <c r="Z3" s="55"/>
      <c r="AA3" s="56" t="s">
        <v>38</v>
      </c>
      <c r="AB3" s="56"/>
      <c r="AC3" s="56"/>
      <c r="AD3" s="56"/>
      <c r="AE3" s="56"/>
      <c r="AF3" s="50" t="s">
        <v>39</v>
      </c>
      <c r="AG3" s="50"/>
      <c r="AH3" s="50"/>
      <c r="AI3" s="50"/>
      <c r="AJ3" s="50"/>
      <c r="AK3" s="51" t="s">
        <v>40</v>
      </c>
      <c r="AL3" s="51"/>
      <c r="AM3" s="51"/>
      <c r="AN3" s="51"/>
      <c r="AO3" s="51"/>
      <c r="AP3" s="42" t="s">
        <v>34</v>
      </c>
      <c r="AQ3" s="45" t="s">
        <v>5</v>
      </c>
      <c r="AR3" s="57" t="s">
        <v>6</v>
      </c>
      <c r="AS3" s="59" t="s">
        <v>27</v>
      </c>
      <c r="AT3" s="45" t="s">
        <v>32</v>
      </c>
      <c r="AU3" s="1" t="s">
        <v>41</v>
      </c>
      <c r="AV3" s="1" t="s">
        <v>42</v>
      </c>
      <c r="AW3" s="1"/>
    </row>
    <row r="4" spans="2:49" ht="31.9" customHeight="1" x14ac:dyDescent="0.2">
      <c r="B4" s="43"/>
      <c r="C4" s="41" t="s">
        <v>45</v>
      </c>
      <c r="D4" s="43"/>
      <c r="E4" s="43"/>
      <c r="F4" s="37" t="s">
        <v>47</v>
      </c>
      <c r="G4" s="7" t="s">
        <v>23</v>
      </c>
      <c r="H4" s="7" t="s">
        <v>24</v>
      </c>
      <c r="I4" s="7" t="s">
        <v>25</v>
      </c>
      <c r="J4" s="7" t="s">
        <v>26</v>
      </c>
      <c r="K4" s="12" t="s">
        <v>27</v>
      </c>
      <c r="L4" s="7" t="s">
        <v>23</v>
      </c>
      <c r="M4" s="7" t="s">
        <v>24</v>
      </c>
      <c r="N4" s="7" t="s">
        <v>25</v>
      </c>
      <c r="O4" s="7" t="s">
        <v>26</v>
      </c>
      <c r="P4" s="16" t="s">
        <v>27</v>
      </c>
      <c r="Q4" s="7" t="s">
        <v>23</v>
      </c>
      <c r="R4" s="7" t="s">
        <v>24</v>
      </c>
      <c r="S4" s="7" t="s">
        <v>25</v>
      </c>
      <c r="T4" s="7" t="s">
        <v>26</v>
      </c>
      <c r="U4" s="20" t="s">
        <v>27</v>
      </c>
      <c r="V4" s="7" t="s">
        <v>23</v>
      </c>
      <c r="W4" s="7" t="s">
        <v>24</v>
      </c>
      <c r="X4" s="7" t="s">
        <v>25</v>
      </c>
      <c r="Y4" s="7" t="s">
        <v>26</v>
      </c>
      <c r="Z4" s="23" t="s">
        <v>27</v>
      </c>
      <c r="AA4" s="7" t="s">
        <v>23</v>
      </c>
      <c r="AB4" s="7" t="s">
        <v>24</v>
      </c>
      <c r="AC4" s="7" t="s">
        <v>25</v>
      </c>
      <c r="AD4" s="7" t="s">
        <v>26</v>
      </c>
      <c r="AE4" s="26" t="s">
        <v>27</v>
      </c>
      <c r="AF4" s="7" t="s">
        <v>23</v>
      </c>
      <c r="AG4" s="7" t="s">
        <v>24</v>
      </c>
      <c r="AH4" s="7" t="s">
        <v>25</v>
      </c>
      <c r="AI4" s="7" t="s">
        <v>26</v>
      </c>
      <c r="AJ4" s="29" t="s">
        <v>27</v>
      </c>
      <c r="AK4" s="7" t="s">
        <v>23</v>
      </c>
      <c r="AL4" s="7" t="s">
        <v>24</v>
      </c>
      <c r="AM4" s="7" t="s">
        <v>25</v>
      </c>
      <c r="AN4" s="7" t="s">
        <v>26</v>
      </c>
      <c r="AO4" s="32" t="s">
        <v>33</v>
      </c>
      <c r="AP4" s="44"/>
      <c r="AQ4" s="47"/>
      <c r="AR4" s="58"/>
      <c r="AS4" s="60"/>
      <c r="AT4" s="46"/>
      <c r="AU4" s="1"/>
    </row>
    <row r="5" spans="2:49" x14ac:dyDescent="0.2">
      <c r="B5" s="44"/>
      <c r="C5" s="40" t="s">
        <v>46</v>
      </c>
      <c r="D5" s="44"/>
      <c r="E5" s="44"/>
      <c r="F5" s="38" t="s">
        <v>48</v>
      </c>
      <c r="G5" s="8">
        <v>10</v>
      </c>
      <c r="H5" s="8">
        <v>5</v>
      </c>
      <c r="I5" s="8">
        <v>5</v>
      </c>
      <c r="J5" s="8">
        <v>80</v>
      </c>
      <c r="K5" s="13">
        <v>100</v>
      </c>
      <c r="L5" s="8">
        <v>10</v>
      </c>
      <c r="M5" s="8">
        <v>5</v>
      </c>
      <c r="N5" s="8">
        <v>5</v>
      </c>
      <c r="O5" s="8">
        <v>80</v>
      </c>
      <c r="P5" s="17">
        <v>100</v>
      </c>
      <c r="Q5" s="8">
        <v>10</v>
      </c>
      <c r="R5" s="8">
        <v>5</v>
      </c>
      <c r="S5" s="8">
        <v>5</v>
      </c>
      <c r="T5" s="8">
        <v>80</v>
      </c>
      <c r="U5" s="21">
        <v>100</v>
      </c>
      <c r="V5" s="8">
        <v>10</v>
      </c>
      <c r="W5" s="8">
        <v>5</v>
      </c>
      <c r="X5" s="8">
        <v>5</v>
      </c>
      <c r="Y5" s="8">
        <v>80</v>
      </c>
      <c r="Z5" s="24">
        <v>100</v>
      </c>
      <c r="AA5" s="8">
        <v>10</v>
      </c>
      <c r="AB5" s="8">
        <v>5</v>
      </c>
      <c r="AC5" s="8">
        <v>5</v>
      </c>
      <c r="AD5" s="8">
        <v>80</v>
      </c>
      <c r="AE5" s="27">
        <v>100</v>
      </c>
      <c r="AF5" s="8">
        <v>10</v>
      </c>
      <c r="AG5" s="8">
        <v>5</v>
      </c>
      <c r="AH5" s="8">
        <v>5</v>
      </c>
      <c r="AI5" s="8">
        <v>80</v>
      </c>
      <c r="AJ5" s="30">
        <v>100</v>
      </c>
      <c r="AK5" s="8">
        <v>10</v>
      </c>
      <c r="AL5" s="8">
        <v>5</v>
      </c>
      <c r="AM5" s="8">
        <v>5</v>
      </c>
      <c r="AN5" s="8">
        <v>5</v>
      </c>
      <c r="AO5" s="33">
        <v>100</v>
      </c>
      <c r="AP5" s="8"/>
      <c r="AQ5" s="8"/>
      <c r="AR5" s="5"/>
      <c r="AS5" s="35"/>
      <c r="AT5" s="47"/>
    </row>
    <row r="6" spans="2:49" ht="30" customHeight="1" x14ac:dyDescent="0.2">
      <c r="B6" s="2">
        <v>1</v>
      </c>
      <c r="C6" s="2">
        <v>303</v>
      </c>
      <c r="D6" s="3" t="s">
        <v>8</v>
      </c>
      <c r="E6" s="3" t="s">
        <v>53</v>
      </c>
      <c r="F6" s="3" t="s">
        <v>57</v>
      </c>
      <c r="G6" s="8">
        <v>9</v>
      </c>
      <c r="H6" s="8">
        <v>5</v>
      </c>
      <c r="I6" s="8">
        <v>5</v>
      </c>
      <c r="J6" s="8">
        <v>69</v>
      </c>
      <c r="K6" s="14">
        <v>88</v>
      </c>
      <c r="L6" s="8">
        <v>8</v>
      </c>
      <c r="M6" s="8">
        <v>5</v>
      </c>
      <c r="N6" s="8">
        <v>5</v>
      </c>
      <c r="O6" s="8">
        <v>49</v>
      </c>
      <c r="P6" s="18">
        <v>67</v>
      </c>
      <c r="Q6" s="8">
        <v>9</v>
      </c>
      <c r="R6" s="8">
        <v>5</v>
      </c>
      <c r="S6" s="8">
        <v>5</v>
      </c>
      <c r="T6" s="8">
        <v>61</v>
      </c>
      <c r="U6" s="22">
        <v>80</v>
      </c>
      <c r="V6" s="8">
        <v>9</v>
      </c>
      <c r="W6" s="8">
        <v>5</v>
      </c>
      <c r="X6" s="8">
        <v>5</v>
      </c>
      <c r="Y6" s="8">
        <v>66</v>
      </c>
      <c r="Z6" s="25">
        <v>85</v>
      </c>
      <c r="AA6" s="8">
        <v>9</v>
      </c>
      <c r="AB6" s="8">
        <v>5</v>
      </c>
      <c r="AC6" s="8">
        <v>5</v>
      </c>
      <c r="AD6" s="8">
        <v>52</v>
      </c>
      <c r="AE6" s="28">
        <v>71</v>
      </c>
      <c r="AF6" s="8">
        <v>8</v>
      </c>
      <c r="AG6" s="8">
        <v>5</v>
      </c>
      <c r="AH6" s="8">
        <v>5</v>
      </c>
      <c r="AI6" s="8">
        <v>57</v>
      </c>
      <c r="AJ6" s="31">
        <v>75</v>
      </c>
      <c r="AK6" s="8">
        <v>8</v>
      </c>
      <c r="AL6" s="8">
        <v>5</v>
      </c>
      <c r="AM6" s="8">
        <v>5</v>
      </c>
      <c r="AN6" s="8">
        <v>58</v>
      </c>
      <c r="AO6" s="34">
        <v>76</v>
      </c>
      <c r="AP6" s="8" t="s">
        <v>30</v>
      </c>
      <c r="AQ6" s="8" t="s">
        <v>30</v>
      </c>
      <c r="AR6" s="5" t="s">
        <v>28</v>
      </c>
      <c r="AS6" s="35">
        <v>542</v>
      </c>
      <c r="AT6" s="6">
        <v>77.400000000000006</v>
      </c>
      <c r="AU6" t="s">
        <v>71</v>
      </c>
      <c r="AV6">
        <v>103</v>
      </c>
    </row>
    <row r="7" spans="2:49" ht="27.75" x14ac:dyDescent="0.2">
      <c r="B7" s="2">
        <v>2</v>
      </c>
      <c r="C7" s="2">
        <v>305</v>
      </c>
      <c r="D7" s="3" t="s">
        <v>21</v>
      </c>
      <c r="E7" s="3" t="s">
        <v>22</v>
      </c>
      <c r="F7" s="3" t="s">
        <v>58</v>
      </c>
      <c r="G7" s="8">
        <v>4</v>
      </c>
      <c r="H7" s="8">
        <v>4</v>
      </c>
      <c r="I7" s="8">
        <v>4</v>
      </c>
      <c r="J7" s="8">
        <v>29</v>
      </c>
      <c r="K7" s="14">
        <v>41</v>
      </c>
      <c r="L7" s="8">
        <v>5</v>
      </c>
      <c r="M7" s="8">
        <v>4</v>
      </c>
      <c r="N7" s="8">
        <v>4</v>
      </c>
      <c r="O7" s="8">
        <v>28</v>
      </c>
      <c r="P7" s="18">
        <v>41</v>
      </c>
      <c r="Q7" s="8">
        <v>5</v>
      </c>
      <c r="R7" s="8">
        <v>4</v>
      </c>
      <c r="S7" s="8">
        <v>4</v>
      </c>
      <c r="T7" s="8">
        <v>20</v>
      </c>
      <c r="U7" s="22">
        <v>33</v>
      </c>
      <c r="V7" s="8">
        <v>9</v>
      </c>
      <c r="W7" s="8">
        <v>4</v>
      </c>
      <c r="X7" s="8">
        <v>4</v>
      </c>
      <c r="Y7" s="8">
        <v>28</v>
      </c>
      <c r="Z7" s="25">
        <v>45</v>
      </c>
      <c r="AA7" s="8">
        <v>8</v>
      </c>
      <c r="AB7" s="8">
        <v>5</v>
      </c>
      <c r="AC7" s="8">
        <v>4</v>
      </c>
      <c r="AD7" s="8">
        <v>27</v>
      </c>
      <c r="AE7" s="28">
        <v>44</v>
      </c>
      <c r="AF7" s="8">
        <v>9</v>
      </c>
      <c r="AG7" s="8">
        <v>5</v>
      </c>
      <c r="AH7" s="8">
        <v>4</v>
      </c>
      <c r="AI7" s="8">
        <v>35</v>
      </c>
      <c r="AJ7" s="31">
        <v>53</v>
      </c>
      <c r="AK7" s="8">
        <v>7</v>
      </c>
      <c r="AL7" s="8">
        <v>5</v>
      </c>
      <c r="AM7" s="8">
        <v>4</v>
      </c>
      <c r="AN7" s="8">
        <v>33</v>
      </c>
      <c r="AO7" s="34">
        <v>49</v>
      </c>
      <c r="AP7" s="8" t="s">
        <v>28</v>
      </c>
      <c r="AQ7" s="8" t="s">
        <v>29</v>
      </c>
      <c r="AR7" s="5" t="s">
        <v>30</v>
      </c>
      <c r="AS7" s="35">
        <f t="shared" ref="AS6:AS19" si="0">SUM(K7,P7,U7,Z7,AE7,AJ7,AO7)</f>
        <v>306</v>
      </c>
      <c r="AT7" s="6">
        <f t="shared" ref="AT6:AT19" si="1">AS7/700*100</f>
        <v>43.714285714285715</v>
      </c>
      <c r="AV7">
        <v>104</v>
      </c>
    </row>
    <row r="8" spans="2:49" ht="27.75" x14ac:dyDescent="0.2">
      <c r="B8" s="2">
        <v>3</v>
      </c>
      <c r="C8" s="2">
        <v>310</v>
      </c>
      <c r="D8" s="3" t="s">
        <v>49</v>
      </c>
      <c r="E8" s="3" t="s">
        <v>50</v>
      </c>
      <c r="F8" s="3" t="s">
        <v>59</v>
      </c>
      <c r="G8" s="8">
        <v>6</v>
      </c>
      <c r="H8" s="8">
        <v>5</v>
      </c>
      <c r="I8" s="8">
        <v>5</v>
      </c>
      <c r="J8" s="8">
        <v>54</v>
      </c>
      <c r="K8" s="14">
        <v>70</v>
      </c>
      <c r="L8" s="8">
        <v>9</v>
      </c>
      <c r="M8" s="8">
        <v>5</v>
      </c>
      <c r="N8" s="8">
        <v>5</v>
      </c>
      <c r="O8" s="8">
        <v>61</v>
      </c>
      <c r="P8" s="18">
        <v>80</v>
      </c>
      <c r="Q8" s="8">
        <v>8</v>
      </c>
      <c r="R8" s="8">
        <v>5</v>
      </c>
      <c r="S8" s="8">
        <v>5</v>
      </c>
      <c r="T8" s="8">
        <v>53</v>
      </c>
      <c r="U8" s="22">
        <v>71</v>
      </c>
      <c r="V8" s="8">
        <v>10</v>
      </c>
      <c r="W8" s="8">
        <v>5</v>
      </c>
      <c r="X8" s="8">
        <v>5</v>
      </c>
      <c r="Y8" s="8">
        <v>51</v>
      </c>
      <c r="Z8" s="25">
        <v>71</v>
      </c>
      <c r="AA8" s="8">
        <v>10</v>
      </c>
      <c r="AB8" s="8">
        <v>5</v>
      </c>
      <c r="AC8" s="8">
        <v>5</v>
      </c>
      <c r="AD8" s="8">
        <v>51</v>
      </c>
      <c r="AE8" s="28">
        <v>71</v>
      </c>
      <c r="AF8" s="8">
        <v>9</v>
      </c>
      <c r="AG8" s="8">
        <v>5</v>
      </c>
      <c r="AH8" s="8">
        <v>5</v>
      </c>
      <c r="AI8" s="8">
        <v>67</v>
      </c>
      <c r="AJ8" s="31">
        <v>86</v>
      </c>
      <c r="AK8" s="8">
        <v>9</v>
      </c>
      <c r="AL8" s="8">
        <v>5</v>
      </c>
      <c r="AM8" s="8">
        <v>5</v>
      </c>
      <c r="AN8" s="8">
        <v>70</v>
      </c>
      <c r="AO8" s="34">
        <v>89</v>
      </c>
      <c r="AP8" s="8" t="s">
        <v>30</v>
      </c>
      <c r="AQ8" s="8" t="s">
        <v>29</v>
      </c>
      <c r="AR8" s="5" t="s">
        <v>28</v>
      </c>
      <c r="AS8" s="35">
        <f t="shared" si="0"/>
        <v>538</v>
      </c>
      <c r="AT8" s="6">
        <f t="shared" si="1"/>
        <v>76.857142857142861</v>
      </c>
      <c r="AV8">
        <v>103</v>
      </c>
    </row>
    <row r="9" spans="2:49" ht="41.25" x14ac:dyDescent="0.2">
      <c r="B9" s="2">
        <v>4</v>
      </c>
      <c r="C9" s="2">
        <v>315</v>
      </c>
      <c r="D9" s="3" t="s">
        <v>51</v>
      </c>
      <c r="E9" s="3" t="s">
        <v>52</v>
      </c>
      <c r="F9" s="3" t="s">
        <v>60</v>
      </c>
      <c r="G9" s="8">
        <v>7</v>
      </c>
      <c r="H9" s="8">
        <v>5</v>
      </c>
      <c r="I9" s="8">
        <v>5</v>
      </c>
      <c r="J9" s="9">
        <v>67</v>
      </c>
      <c r="K9" s="15">
        <v>84</v>
      </c>
      <c r="L9" s="8">
        <v>8</v>
      </c>
      <c r="M9" s="8">
        <v>5</v>
      </c>
      <c r="N9" s="8">
        <v>5</v>
      </c>
      <c r="O9" s="9">
        <v>54</v>
      </c>
      <c r="P9" s="19">
        <v>72</v>
      </c>
      <c r="Q9" s="8">
        <v>7</v>
      </c>
      <c r="R9" s="8">
        <v>5</v>
      </c>
      <c r="S9" s="8">
        <v>5</v>
      </c>
      <c r="T9" s="8">
        <v>57</v>
      </c>
      <c r="U9" s="22">
        <v>74</v>
      </c>
      <c r="V9" s="8">
        <v>9</v>
      </c>
      <c r="W9" s="8">
        <v>5</v>
      </c>
      <c r="X9" s="8">
        <v>5</v>
      </c>
      <c r="Y9" s="8">
        <v>60</v>
      </c>
      <c r="Z9" s="25">
        <v>79</v>
      </c>
      <c r="AA9" s="8">
        <v>9</v>
      </c>
      <c r="AB9" s="8">
        <v>5</v>
      </c>
      <c r="AC9" s="8">
        <v>5</v>
      </c>
      <c r="AD9" s="8">
        <v>67</v>
      </c>
      <c r="AE9" s="28">
        <v>86</v>
      </c>
      <c r="AF9" s="8">
        <v>9</v>
      </c>
      <c r="AG9" s="8">
        <v>5</v>
      </c>
      <c r="AH9" s="8">
        <v>5</v>
      </c>
      <c r="AI9" s="8">
        <v>63</v>
      </c>
      <c r="AJ9" s="31">
        <v>82</v>
      </c>
      <c r="AK9" s="8">
        <v>9</v>
      </c>
      <c r="AL9" s="8">
        <v>5</v>
      </c>
      <c r="AM9" s="8">
        <v>5</v>
      </c>
      <c r="AN9" s="8">
        <v>64</v>
      </c>
      <c r="AO9" s="34">
        <v>83</v>
      </c>
      <c r="AP9" s="8" t="s">
        <v>30</v>
      </c>
      <c r="AQ9" s="8" t="s">
        <v>30</v>
      </c>
      <c r="AR9" s="5" t="s">
        <v>30</v>
      </c>
      <c r="AS9" s="35">
        <f t="shared" si="0"/>
        <v>560</v>
      </c>
      <c r="AT9" s="6">
        <f t="shared" si="1"/>
        <v>80</v>
      </c>
      <c r="AU9" t="s">
        <v>72</v>
      </c>
      <c r="AV9">
        <v>106</v>
      </c>
    </row>
    <row r="10" spans="2:49" ht="45" customHeight="1" x14ac:dyDescent="0.2">
      <c r="B10" s="2">
        <v>5</v>
      </c>
      <c r="C10" s="2">
        <v>317</v>
      </c>
      <c r="D10" s="3" t="s">
        <v>55</v>
      </c>
      <c r="E10" s="3" t="s">
        <v>54</v>
      </c>
      <c r="F10" s="3" t="s">
        <v>61</v>
      </c>
      <c r="G10" s="8">
        <v>9</v>
      </c>
      <c r="H10" s="8">
        <v>5</v>
      </c>
      <c r="I10" s="8">
        <v>5</v>
      </c>
      <c r="J10" s="8">
        <v>52</v>
      </c>
      <c r="K10" s="14">
        <v>71</v>
      </c>
      <c r="L10" s="8">
        <v>6</v>
      </c>
      <c r="M10" s="8">
        <v>5</v>
      </c>
      <c r="N10" s="8">
        <v>5</v>
      </c>
      <c r="O10" s="8">
        <v>48</v>
      </c>
      <c r="P10" s="18">
        <v>64</v>
      </c>
      <c r="Q10" s="8">
        <v>10</v>
      </c>
      <c r="R10" s="8">
        <v>5</v>
      </c>
      <c r="S10" s="8">
        <v>5</v>
      </c>
      <c r="T10" s="8">
        <v>47</v>
      </c>
      <c r="U10" s="22">
        <v>67</v>
      </c>
      <c r="V10" s="8">
        <v>9</v>
      </c>
      <c r="W10" s="8">
        <v>5</v>
      </c>
      <c r="X10" s="8">
        <v>5</v>
      </c>
      <c r="Y10" s="8">
        <v>56</v>
      </c>
      <c r="Z10" s="25">
        <v>75</v>
      </c>
      <c r="AA10" s="8">
        <v>10</v>
      </c>
      <c r="AB10" s="8">
        <v>5</v>
      </c>
      <c r="AC10" s="8">
        <v>5</v>
      </c>
      <c r="AD10" s="8">
        <v>51</v>
      </c>
      <c r="AE10" s="28">
        <v>71</v>
      </c>
      <c r="AF10" s="8">
        <v>8</v>
      </c>
      <c r="AG10" s="8">
        <v>5</v>
      </c>
      <c r="AH10" s="8">
        <v>5</v>
      </c>
      <c r="AI10" s="8">
        <v>65</v>
      </c>
      <c r="AJ10" s="31">
        <v>83</v>
      </c>
      <c r="AK10" s="8">
        <v>9</v>
      </c>
      <c r="AL10" s="8">
        <v>5</v>
      </c>
      <c r="AM10" s="8">
        <v>5</v>
      </c>
      <c r="AN10" s="8">
        <v>56</v>
      </c>
      <c r="AO10" s="34">
        <v>75</v>
      </c>
      <c r="AP10" s="8" t="s">
        <v>30</v>
      </c>
      <c r="AQ10" s="8" t="s">
        <v>28</v>
      </c>
      <c r="AR10" s="5" t="s">
        <v>30</v>
      </c>
      <c r="AS10" s="35">
        <f t="shared" si="0"/>
        <v>506</v>
      </c>
      <c r="AT10" s="6">
        <f t="shared" si="1"/>
        <v>72.285714285714292</v>
      </c>
      <c r="AV10">
        <v>105</v>
      </c>
    </row>
    <row r="11" spans="2:49" ht="41.25" x14ac:dyDescent="0.2">
      <c r="B11" s="2">
        <v>6</v>
      </c>
      <c r="C11" s="2">
        <v>323</v>
      </c>
      <c r="D11" s="3" t="s">
        <v>9</v>
      </c>
      <c r="E11" s="3" t="s">
        <v>62</v>
      </c>
      <c r="F11" s="3" t="s">
        <v>63</v>
      </c>
      <c r="G11" s="8">
        <v>7</v>
      </c>
      <c r="H11" s="8">
        <v>4</v>
      </c>
      <c r="I11" s="8">
        <v>4</v>
      </c>
      <c r="J11" s="8">
        <v>32</v>
      </c>
      <c r="K11" s="14">
        <v>47</v>
      </c>
      <c r="L11" s="8">
        <v>4</v>
      </c>
      <c r="M11" s="8">
        <v>5</v>
      </c>
      <c r="N11" s="8">
        <v>4</v>
      </c>
      <c r="O11" s="8">
        <v>31</v>
      </c>
      <c r="P11" s="18">
        <v>44</v>
      </c>
      <c r="Q11" s="8">
        <v>5</v>
      </c>
      <c r="R11" s="8">
        <v>5</v>
      </c>
      <c r="S11" s="8">
        <v>4</v>
      </c>
      <c r="T11" s="8">
        <v>19</v>
      </c>
      <c r="U11" s="22">
        <v>33</v>
      </c>
      <c r="V11" s="8">
        <v>8</v>
      </c>
      <c r="W11" s="8">
        <v>4</v>
      </c>
      <c r="X11" s="8">
        <v>4</v>
      </c>
      <c r="Y11" s="8">
        <v>23</v>
      </c>
      <c r="Z11" s="25">
        <v>39</v>
      </c>
      <c r="AA11" s="8">
        <v>7</v>
      </c>
      <c r="AB11" s="8">
        <v>5</v>
      </c>
      <c r="AC11" s="8">
        <v>4</v>
      </c>
      <c r="AD11" s="8">
        <v>28</v>
      </c>
      <c r="AE11" s="28">
        <v>44</v>
      </c>
      <c r="AF11" s="8">
        <v>6</v>
      </c>
      <c r="AG11" s="8">
        <v>5</v>
      </c>
      <c r="AH11" s="8">
        <v>4</v>
      </c>
      <c r="AI11" s="8">
        <v>37</v>
      </c>
      <c r="AJ11" s="31">
        <v>52</v>
      </c>
      <c r="AK11" s="8">
        <v>8</v>
      </c>
      <c r="AL11" s="8">
        <v>5</v>
      </c>
      <c r="AM11" s="8">
        <v>4</v>
      </c>
      <c r="AN11" s="8">
        <v>46</v>
      </c>
      <c r="AO11" s="34">
        <v>63</v>
      </c>
      <c r="AP11" s="8" t="s">
        <v>28</v>
      </c>
      <c r="AQ11" s="8" t="s">
        <v>31</v>
      </c>
      <c r="AR11" s="5" t="s">
        <v>30</v>
      </c>
      <c r="AS11" s="35">
        <f t="shared" si="0"/>
        <v>322</v>
      </c>
      <c r="AT11" s="6">
        <f t="shared" si="1"/>
        <v>46</v>
      </c>
      <c r="AV11">
        <v>104</v>
      </c>
    </row>
    <row r="12" spans="2:49" ht="27.75" x14ac:dyDescent="0.2">
      <c r="B12" s="2">
        <v>7</v>
      </c>
      <c r="C12" s="2">
        <v>328</v>
      </c>
      <c r="D12" s="3" t="s">
        <v>10</v>
      </c>
      <c r="E12" s="3" t="s">
        <v>56</v>
      </c>
      <c r="F12" s="3" t="s">
        <v>64</v>
      </c>
      <c r="G12" s="8">
        <v>9</v>
      </c>
      <c r="H12" s="8">
        <v>5</v>
      </c>
      <c r="I12" s="8">
        <v>5</v>
      </c>
      <c r="J12" s="8">
        <v>71</v>
      </c>
      <c r="K12" s="14">
        <v>90</v>
      </c>
      <c r="L12" s="8">
        <v>9</v>
      </c>
      <c r="M12" s="8">
        <v>5</v>
      </c>
      <c r="N12" s="8">
        <v>5</v>
      </c>
      <c r="O12" s="8">
        <v>70</v>
      </c>
      <c r="P12" s="18">
        <v>89</v>
      </c>
      <c r="Q12" s="8">
        <v>10</v>
      </c>
      <c r="R12" s="8">
        <v>5</v>
      </c>
      <c r="S12" s="8">
        <v>5</v>
      </c>
      <c r="T12" s="8">
        <v>71</v>
      </c>
      <c r="U12" s="22">
        <v>91</v>
      </c>
      <c r="V12" s="8">
        <v>10</v>
      </c>
      <c r="W12" s="8">
        <v>5</v>
      </c>
      <c r="X12" s="8">
        <v>5</v>
      </c>
      <c r="Y12" s="8">
        <v>72</v>
      </c>
      <c r="Z12" s="25">
        <v>92</v>
      </c>
      <c r="AA12" s="8">
        <v>10</v>
      </c>
      <c r="AB12" s="8">
        <v>5</v>
      </c>
      <c r="AC12" s="8">
        <v>5</v>
      </c>
      <c r="AD12" s="8">
        <v>71</v>
      </c>
      <c r="AE12" s="28">
        <v>91</v>
      </c>
      <c r="AF12" s="8">
        <v>9</v>
      </c>
      <c r="AG12" s="8">
        <v>5</v>
      </c>
      <c r="AH12" s="8">
        <v>5</v>
      </c>
      <c r="AI12" s="8">
        <v>77</v>
      </c>
      <c r="AJ12" s="31">
        <v>96</v>
      </c>
      <c r="AK12" s="8">
        <v>10</v>
      </c>
      <c r="AL12" s="8">
        <v>5</v>
      </c>
      <c r="AM12" s="8">
        <v>5</v>
      </c>
      <c r="AN12" s="8">
        <v>75</v>
      </c>
      <c r="AO12" s="34">
        <v>95</v>
      </c>
      <c r="AP12" s="8" t="s">
        <v>30</v>
      </c>
      <c r="AQ12" s="8" t="s">
        <v>30</v>
      </c>
      <c r="AR12" s="5" t="s">
        <v>30</v>
      </c>
      <c r="AS12" s="35">
        <f t="shared" si="0"/>
        <v>644</v>
      </c>
      <c r="AT12" s="6">
        <f t="shared" si="1"/>
        <v>92</v>
      </c>
      <c r="AU12" t="s">
        <v>73</v>
      </c>
      <c r="AV12">
        <v>104</v>
      </c>
    </row>
    <row r="13" spans="2:49" ht="27.75" x14ac:dyDescent="0.2">
      <c r="B13" s="2">
        <v>8</v>
      </c>
      <c r="C13" s="2">
        <v>331</v>
      </c>
      <c r="D13" s="3" t="s">
        <v>13</v>
      </c>
      <c r="E13" s="3" t="s">
        <v>11</v>
      </c>
      <c r="F13" s="3" t="s">
        <v>65</v>
      </c>
      <c r="G13" s="8">
        <v>6</v>
      </c>
      <c r="H13" s="8">
        <v>5</v>
      </c>
      <c r="I13" s="8">
        <v>4</v>
      </c>
      <c r="J13" s="8">
        <v>29</v>
      </c>
      <c r="K13" s="14">
        <v>44</v>
      </c>
      <c r="L13" s="8">
        <v>8</v>
      </c>
      <c r="M13" s="8">
        <v>5</v>
      </c>
      <c r="N13" s="8">
        <v>4</v>
      </c>
      <c r="O13" s="8">
        <v>36</v>
      </c>
      <c r="P13" s="18">
        <v>53</v>
      </c>
      <c r="Q13" s="8">
        <v>6</v>
      </c>
      <c r="R13" s="8">
        <v>5</v>
      </c>
      <c r="S13" s="8">
        <v>4</v>
      </c>
      <c r="T13" s="8">
        <v>44</v>
      </c>
      <c r="U13" s="22">
        <v>59</v>
      </c>
      <c r="V13" s="8">
        <v>9</v>
      </c>
      <c r="W13" s="8">
        <v>4</v>
      </c>
      <c r="X13" s="8">
        <v>4</v>
      </c>
      <c r="Y13" s="8">
        <v>22</v>
      </c>
      <c r="Z13" s="25">
        <v>39</v>
      </c>
      <c r="AA13" s="8">
        <v>10</v>
      </c>
      <c r="AB13" s="8">
        <v>5</v>
      </c>
      <c r="AC13" s="8">
        <v>4</v>
      </c>
      <c r="AD13" s="8">
        <v>35</v>
      </c>
      <c r="AE13" s="28">
        <v>54</v>
      </c>
      <c r="AF13" s="8">
        <v>6</v>
      </c>
      <c r="AG13" s="8">
        <v>5</v>
      </c>
      <c r="AH13" s="8">
        <v>5</v>
      </c>
      <c r="AI13" s="8">
        <v>54</v>
      </c>
      <c r="AJ13" s="31">
        <v>70</v>
      </c>
      <c r="AK13" s="8">
        <v>9</v>
      </c>
      <c r="AL13" s="8">
        <v>5</v>
      </c>
      <c r="AM13" s="8">
        <v>5</v>
      </c>
      <c r="AN13" s="8">
        <v>56</v>
      </c>
      <c r="AO13" s="34">
        <v>75</v>
      </c>
      <c r="AP13" s="8" t="s">
        <v>28</v>
      </c>
      <c r="AQ13" s="8" t="s">
        <v>29</v>
      </c>
      <c r="AR13" s="5" t="s">
        <v>28</v>
      </c>
      <c r="AS13" s="35">
        <f t="shared" si="0"/>
        <v>394</v>
      </c>
      <c r="AT13" s="6">
        <f t="shared" si="1"/>
        <v>56.285714285714285</v>
      </c>
      <c r="AV13">
        <v>102</v>
      </c>
    </row>
    <row r="14" spans="2:49" ht="27.75" x14ac:dyDescent="0.2">
      <c r="B14" s="2">
        <v>9</v>
      </c>
      <c r="C14" s="2">
        <v>333</v>
      </c>
      <c r="D14" s="3" t="s">
        <v>12</v>
      </c>
      <c r="E14" s="3" t="s">
        <v>14</v>
      </c>
      <c r="F14" s="3" t="s">
        <v>66</v>
      </c>
      <c r="G14" s="8">
        <v>7</v>
      </c>
      <c r="H14" s="8">
        <v>5</v>
      </c>
      <c r="I14" s="8">
        <v>5</v>
      </c>
      <c r="J14" s="9">
        <v>60</v>
      </c>
      <c r="K14" s="15">
        <v>77</v>
      </c>
      <c r="L14" s="8">
        <v>7</v>
      </c>
      <c r="M14" s="8">
        <v>5</v>
      </c>
      <c r="N14" s="8">
        <v>5</v>
      </c>
      <c r="O14" s="8">
        <v>45</v>
      </c>
      <c r="P14" s="18">
        <v>62</v>
      </c>
      <c r="Q14" s="8">
        <v>9</v>
      </c>
      <c r="R14" s="8">
        <v>5</v>
      </c>
      <c r="S14" s="8">
        <v>5</v>
      </c>
      <c r="T14" s="8">
        <v>46</v>
      </c>
      <c r="U14" s="22">
        <v>65</v>
      </c>
      <c r="V14" s="8">
        <v>9</v>
      </c>
      <c r="W14" s="8">
        <v>5</v>
      </c>
      <c r="X14" s="8">
        <v>5</v>
      </c>
      <c r="Y14" s="8">
        <v>66</v>
      </c>
      <c r="Z14" s="25">
        <v>85</v>
      </c>
      <c r="AA14" s="8">
        <v>10</v>
      </c>
      <c r="AB14" s="8">
        <v>5</v>
      </c>
      <c r="AC14" s="8">
        <v>5</v>
      </c>
      <c r="AD14" s="8">
        <v>68</v>
      </c>
      <c r="AE14" s="28">
        <v>88</v>
      </c>
      <c r="AF14" s="8">
        <v>9</v>
      </c>
      <c r="AG14" s="8">
        <v>5</v>
      </c>
      <c r="AH14" s="8">
        <v>5</v>
      </c>
      <c r="AI14" s="8">
        <v>70</v>
      </c>
      <c r="AJ14" s="31">
        <v>89</v>
      </c>
      <c r="AK14" s="8">
        <v>8</v>
      </c>
      <c r="AL14" s="8">
        <v>5</v>
      </c>
      <c r="AM14" s="8">
        <v>5</v>
      </c>
      <c r="AN14" s="8">
        <v>47</v>
      </c>
      <c r="AO14" s="34">
        <v>65</v>
      </c>
      <c r="AP14" s="8" t="s">
        <v>28</v>
      </c>
      <c r="AQ14" s="8" t="s">
        <v>30</v>
      </c>
      <c r="AR14" s="5" t="s">
        <v>29</v>
      </c>
      <c r="AS14" s="35">
        <f t="shared" si="0"/>
        <v>531</v>
      </c>
      <c r="AT14" s="6">
        <f t="shared" si="1"/>
        <v>75.857142857142861</v>
      </c>
      <c r="AV14">
        <v>105</v>
      </c>
    </row>
    <row r="15" spans="2:49" ht="27.75" x14ac:dyDescent="0.2">
      <c r="B15" s="2">
        <v>10</v>
      </c>
      <c r="C15" s="2">
        <v>334</v>
      </c>
      <c r="D15" s="3" t="s">
        <v>15</v>
      </c>
      <c r="E15" s="3" t="s">
        <v>16</v>
      </c>
      <c r="F15" s="3" t="s">
        <v>67</v>
      </c>
      <c r="G15" s="8">
        <v>5</v>
      </c>
      <c r="H15" s="8">
        <v>5</v>
      </c>
      <c r="I15" s="8">
        <v>5</v>
      </c>
      <c r="J15" s="8">
        <v>45</v>
      </c>
      <c r="K15" s="14">
        <v>60</v>
      </c>
      <c r="L15" s="8">
        <v>4</v>
      </c>
      <c r="M15" s="8">
        <v>5</v>
      </c>
      <c r="N15" s="8">
        <v>5</v>
      </c>
      <c r="O15" s="8">
        <v>28</v>
      </c>
      <c r="P15" s="18">
        <v>42</v>
      </c>
      <c r="Q15" s="8">
        <v>9</v>
      </c>
      <c r="R15" s="8">
        <v>5</v>
      </c>
      <c r="S15" s="8">
        <v>4</v>
      </c>
      <c r="T15" s="8">
        <v>17</v>
      </c>
      <c r="U15" s="22">
        <v>35</v>
      </c>
      <c r="V15" s="8">
        <v>9</v>
      </c>
      <c r="W15" s="8">
        <v>5</v>
      </c>
      <c r="X15" s="8">
        <v>4</v>
      </c>
      <c r="Y15" s="8">
        <v>39</v>
      </c>
      <c r="Z15" s="25">
        <v>57</v>
      </c>
      <c r="AA15" s="8">
        <v>9</v>
      </c>
      <c r="AB15" s="8">
        <v>5</v>
      </c>
      <c r="AC15" s="8">
        <v>5</v>
      </c>
      <c r="AD15" s="8">
        <v>36</v>
      </c>
      <c r="AE15" s="28">
        <v>55</v>
      </c>
      <c r="AF15" s="8">
        <v>6</v>
      </c>
      <c r="AG15" s="8">
        <v>5</v>
      </c>
      <c r="AH15" s="8">
        <v>4</v>
      </c>
      <c r="AI15" s="8">
        <v>45</v>
      </c>
      <c r="AJ15" s="31">
        <v>60</v>
      </c>
      <c r="AK15" s="8">
        <v>7</v>
      </c>
      <c r="AL15" s="8">
        <v>5</v>
      </c>
      <c r="AM15" s="8">
        <v>4</v>
      </c>
      <c r="AN15" s="8">
        <v>38</v>
      </c>
      <c r="AO15" s="34">
        <v>54</v>
      </c>
      <c r="AP15" s="8" t="s">
        <v>29</v>
      </c>
      <c r="AQ15" s="8" t="s">
        <v>28</v>
      </c>
      <c r="AR15" s="5" t="s">
        <v>30</v>
      </c>
      <c r="AS15" s="35">
        <f t="shared" si="0"/>
        <v>363</v>
      </c>
      <c r="AT15" s="6">
        <f t="shared" si="1"/>
        <v>51.857142857142854</v>
      </c>
      <c r="AV15">
        <v>104</v>
      </c>
    </row>
    <row r="16" spans="2:49" ht="41.25" x14ac:dyDescent="0.2">
      <c r="B16" s="2">
        <v>11</v>
      </c>
      <c r="C16" s="2">
        <v>335</v>
      </c>
      <c r="D16" s="3" t="s">
        <v>17</v>
      </c>
      <c r="E16" s="3" t="s">
        <v>18</v>
      </c>
      <c r="F16" s="3" t="s">
        <v>68</v>
      </c>
      <c r="G16" s="8">
        <v>7</v>
      </c>
      <c r="H16" s="8">
        <v>5</v>
      </c>
      <c r="I16" s="8">
        <v>5</v>
      </c>
      <c r="J16" s="8">
        <v>52</v>
      </c>
      <c r="K16" s="14">
        <v>69</v>
      </c>
      <c r="L16" s="8">
        <v>4</v>
      </c>
      <c r="M16" s="8">
        <v>5</v>
      </c>
      <c r="N16" s="8">
        <v>4</v>
      </c>
      <c r="O16" s="8">
        <v>33</v>
      </c>
      <c r="P16" s="18">
        <v>46</v>
      </c>
      <c r="Q16" s="8">
        <v>10</v>
      </c>
      <c r="R16" s="8">
        <v>5</v>
      </c>
      <c r="S16" s="8">
        <v>4</v>
      </c>
      <c r="T16" s="8">
        <v>36</v>
      </c>
      <c r="U16" s="22">
        <v>55</v>
      </c>
      <c r="V16" s="8">
        <v>8</v>
      </c>
      <c r="W16" s="8">
        <v>5</v>
      </c>
      <c r="X16" s="8">
        <v>5</v>
      </c>
      <c r="Y16" s="8">
        <v>57</v>
      </c>
      <c r="Z16" s="25">
        <v>75</v>
      </c>
      <c r="AA16" s="8">
        <v>8</v>
      </c>
      <c r="AB16" s="8">
        <v>5</v>
      </c>
      <c r="AC16" s="8">
        <v>5</v>
      </c>
      <c r="AD16" s="8">
        <v>41</v>
      </c>
      <c r="AE16" s="28">
        <v>59</v>
      </c>
      <c r="AF16" s="8">
        <v>8</v>
      </c>
      <c r="AG16" s="8">
        <v>5</v>
      </c>
      <c r="AH16" s="8">
        <v>4</v>
      </c>
      <c r="AI16" s="8">
        <v>42</v>
      </c>
      <c r="AJ16" s="31">
        <v>59</v>
      </c>
      <c r="AK16" s="8">
        <v>8</v>
      </c>
      <c r="AL16" s="8">
        <v>5</v>
      </c>
      <c r="AM16" s="8">
        <v>4</v>
      </c>
      <c r="AN16" s="8">
        <v>58</v>
      </c>
      <c r="AO16" s="34">
        <v>75</v>
      </c>
      <c r="AP16" s="8" t="s">
        <v>30</v>
      </c>
      <c r="AQ16" s="8" t="s">
        <v>28</v>
      </c>
      <c r="AR16" s="5" t="s">
        <v>29</v>
      </c>
      <c r="AS16" s="35">
        <f t="shared" si="0"/>
        <v>438</v>
      </c>
      <c r="AT16" s="6">
        <f t="shared" si="1"/>
        <v>62.571428571428569</v>
      </c>
      <c r="AV16">
        <v>104</v>
      </c>
    </row>
    <row r="17" spans="2:48" ht="27.75" x14ac:dyDescent="0.2">
      <c r="B17" s="2">
        <v>12</v>
      </c>
      <c r="C17" s="2">
        <v>343</v>
      </c>
      <c r="D17" s="3" t="s">
        <v>20</v>
      </c>
      <c r="E17" s="3" t="s">
        <v>19</v>
      </c>
      <c r="F17" s="3" t="s">
        <v>69</v>
      </c>
      <c r="G17" s="8">
        <v>8</v>
      </c>
      <c r="H17" s="8">
        <v>5</v>
      </c>
      <c r="I17" s="8">
        <v>5</v>
      </c>
      <c r="J17" s="8">
        <v>42</v>
      </c>
      <c r="K17" s="14">
        <v>60</v>
      </c>
      <c r="L17" s="8">
        <v>8</v>
      </c>
      <c r="M17" s="8">
        <v>5</v>
      </c>
      <c r="N17" s="8">
        <v>4</v>
      </c>
      <c r="O17" s="8">
        <v>44</v>
      </c>
      <c r="P17" s="18">
        <v>61</v>
      </c>
      <c r="Q17" s="8">
        <v>7</v>
      </c>
      <c r="R17" s="8">
        <v>5</v>
      </c>
      <c r="S17" s="8">
        <v>4</v>
      </c>
      <c r="T17" s="8">
        <v>39</v>
      </c>
      <c r="U17" s="22">
        <v>55</v>
      </c>
      <c r="V17" s="8">
        <v>9</v>
      </c>
      <c r="W17" s="8">
        <v>5</v>
      </c>
      <c r="X17" s="8">
        <v>5</v>
      </c>
      <c r="Y17" s="8">
        <v>47</v>
      </c>
      <c r="Z17" s="25">
        <v>66</v>
      </c>
      <c r="AA17" s="8">
        <v>10</v>
      </c>
      <c r="AB17" s="8">
        <v>5</v>
      </c>
      <c r="AC17" s="8">
        <v>5</v>
      </c>
      <c r="AD17" s="8">
        <v>49</v>
      </c>
      <c r="AE17" s="28">
        <v>69</v>
      </c>
      <c r="AF17" s="8">
        <v>8</v>
      </c>
      <c r="AG17" s="8">
        <v>5</v>
      </c>
      <c r="AH17" s="8">
        <v>5</v>
      </c>
      <c r="AI17" s="8">
        <v>49</v>
      </c>
      <c r="AJ17" s="31">
        <v>67</v>
      </c>
      <c r="AK17" s="8">
        <v>7</v>
      </c>
      <c r="AL17" s="8">
        <v>5</v>
      </c>
      <c r="AM17" s="8">
        <v>5</v>
      </c>
      <c r="AN17" s="8">
        <v>44</v>
      </c>
      <c r="AO17" s="34">
        <v>61</v>
      </c>
      <c r="AP17" s="8" t="s">
        <v>30</v>
      </c>
      <c r="AQ17" s="8" t="s">
        <v>30</v>
      </c>
      <c r="AR17" s="5" t="s">
        <v>30</v>
      </c>
      <c r="AS17" s="35">
        <f t="shared" si="0"/>
        <v>439</v>
      </c>
      <c r="AT17" s="6">
        <f t="shared" si="1"/>
        <v>62.714285714285708</v>
      </c>
      <c r="AV17">
        <v>104</v>
      </c>
    </row>
    <row r="18" spans="2:48" ht="27.75" x14ac:dyDescent="0.2">
      <c r="B18" s="2">
        <v>13</v>
      </c>
      <c r="C18" s="2">
        <v>624</v>
      </c>
      <c r="D18" s="3" t="s">
        <v>36</v>
      </c>
      <c r="E18" s="3" t="s">
        <v>35</v>
      </c>
      <c r="F18" s="3" t="s">
        <v>70</v>
      </c>
      <c r="G18" s="8">
        <v>5</v>
      </c>
      <c r="H18" s="8">
        <v>5</v>
      </c>
      <c r="I18" s="8">
        <v>5</v>
      </c>
      <c r="J18" s="9">
        <v>50</v>
      </c>
      <c r="K18" s="15">
        <v>75</v>
      </c>
      <c r="L18" s="8">
        <v>5</v>
      </c>
      <c r="M18" s="8">
        <v>5</v>
      </c>
      <c r="N18" s="8">
        <v>5</v>
      </c>
      <c r="O18" s="9">
        <v>43</v>
      </c>
      <c r="P18" s="19">
        <v>58</v>
      </c>
      <c r="Q18" s="8">
        <v>10</v>
      </c>
      <c r="R18" s="8">
        <v>5</v>
      </c>
      <c r="S18" s="8">
        <v>5</v>
      </c>
      <c r="T18" s="8">
        <v>51</v>
      </c>
      <c r="U18" s="22">
        <v>71</v>
      </c>
      <c r="V18" s="8">
        <v>6</v>
      </c>
      <c r="W18" s="8">
        <v>5</v>
      </c>
      <c r="X18" s="8">
        <v>5</v>
      </c>
      <c r="Y18" s="8">
        <v>46</v>
      </c>
      <c r="Z18" s="25">
        <v>62</v>
      </c>
      <c r="AA18" s="8">
        <v>10</v>
      </c>
      <c r="AB18" s="8">
        <v>5</v>
      </c>
      <c r="AC18" s="8">
        <v>5</v>
      </c>
      <c r="AD18" s="8">
        <v>49</v>
      </c>
      <c r="AE18" s="28">
        <v>69</v>
      </c>
      <c r="AF18" s="8">
        <v>6</v>
      </c>
      <c r="AG18" s="8">
        <v>5</v>
      </c>
      <c r="AH18" s="8">
        <v>5</v>
      </c>
      <c r="AI18" s="8">
        <v>43</v>
      </c>
      <c r="AJ18" s="31">
        <v>59</v>
      </c>
      <c r="AK18" s="8">
        <v>7</v>
      </c>
      <c r="AL18" s="8">
        <v>5</v>
      </c>
      <c r="AM18" s="8">
        <v>5</v>
      </c>
      <c r="AN18" s="8">
        <v>47</v>
      </c>
      <c r="AO18" s="34">
        <v>64</v>
      </c>
      <c r="AP18" s="8" t="s">
        <v>29</v>
      </c>
      <c r="AQ18" s="8" t="s">
        <v>28</v>
      </c>
      <c r="AR18" s="5" t="s">
        <v>28</v>
      </c>
      <c r="AS18" s="35">
        <f t="shared" si="0"/>
        <v>458</v>
      </c>
      <c r="AT18" s="6">
        <f t="shared" si="1"/>
        <v>65.428571428571431</v>
      </c>
      <c r="AV18">
        <v>101</v>
      </c>
    </row>
    <row r="19" spans="2:48" ht="15" hidden="1" customHeight="1" x14ac:dyDescent="0.2">
      <c r="B19" s="2"/>
      <c r="C19" s="2"/>
      <c r="D19" s="3"/>
      <c r="E19" s="3"/>
      <c r="F19" s="3"/>
      <c r="G19" s="8"/>
      <c r="H19" s="8"/>
      <c r="I19" s="8"/>
      <c r="J19" s="8">
        <v>36</v>
      </c>
      <c r="K19" s="14">
        <v>51</v>
      </c>
      <c r="L19" s="8">
        <v>4</v>
      </c>
      <c r="M19" s="8">
        <v>4</v>
      </c>
      <c r="N19" s="8">
        <v>5</v>
      </c>
      <c r="O19" s="8">
        <v>44</v>
      </c>
      <c r="P19" s="18">
        <v>57</v>
      </c>
      <c r="Q19" s="8">
        <v>6</v>
      </c>
      <c r="R19" s="8">
        <v>4</v>
      </c>
      <c r="S19" s="8">
        <v>5</v>
      </c>
      <c r="T19" s="8">
        <v>46</v>
      </c>
      <c r="U19" s="22">
        <v>61</v>
      </c>
      <c r="V19" s="8">
        <v>7</v>
      </c>
      <c r="W19" s="8">
        <v>4</v>
      </c>
      <c r="X19" s="8">
        <v>5</v>
      </c>
      <c r="Y19" s="8">
        <v>50</v>
      </c>
      <c r="Z19" s="25">
        <v>66</v>
      </c>
      <c r="AA19" s="8">
        <v>5</v>
      </c>
      <c r="AB19" s="8">
        <v>5</v>
      </c>
      <c r="AC19" s="8">
        <v>5</v>
      </c>
      <c r="AD19" s="8">
        <v>55</v>
      </c>
      <c r="AE19" s="28">
        <v>70</v>
      </c>
      <c r="AF19" s="8">
        <v>6</v>
      </c>
      <c r="AG19" s="8">
        <v>5</v>
      </c>
      <c r="AH19" s="8">
        <v>5</v>
      </c>
      <c r="AI19" s="8">
        <v>45</v>
      </c>
      <c r="AJ19" s="31">
        <v>61</v>
      </c>
      <c r="AK19" s="8">
        <v>6</v>
      </c>
      <c r="AL19" s="8">
        <v>5</v>
      </c>
      <c r="AM19" s="8">
        <v>5</v>
      </c>
      <c r="AN19" s="8">
        <v>25</v>
      </c>
      <c r="AO19" s="34">
        <v>41</v>
      </c>
      <c r="AP19" s="8" t="s">
        <v>28</v>
      </c>
      <c r="AQ19" s="8" t="s">
        <v>31</v>
      </c>
      <c r="AR19" s="5" t="s">
        <v>29</v>
      </c>
      <c r="AS19" s="35">
        <f t="shared" si="0"/>
        <v>407</v>
      </c>
      <c r="AT19" s="6">
        <f t="shared" si="1"/>
        <v>58.142857142857139</v>
      </c>
    </row>
  </sheetData>
  <mergeCells count="17">
    <mergeCell ref="B3:B5"/>
    <mergeCell ref="D3:D5"/>
    <mergeCell ref="E3:E5"/>
    <mergeCell ref="AT3:AT5"/>
    <mergeCell ref="B1:AT1"/>
    <mergeCell ref="B2:AT2"/>
    <mergeCell ref="AF3:AJ3"/>
    <mergeCell ref="AK3:AO3"/>
    <mergeCell ref="G3:K3"/>
    <mergeCell ref="L3:P3"/>
    <mergeCell ref="Q3:U3"/>
    <mergeCell ref="V3:Z3"/>
    <mergeCell ref="AA3:AE3"/>
    <mergeCell ref="AP3:AP4"/>
    <mergeCell ref="AR3:AR4"/>
    <mergeCell ref="AQ3:AQ4"/>
    <mergeCell ref="AS3:AS4"/>
  </mergeCells>
  <printOptions horizontalCentered="1"/>
  <pageMargins left="0.25" right="0.25" top="0.25" bottom="0.25" header="0.25" footer="0.25"/>
  <pageSetup scale="8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2025-11-15T09:00:38Z</cp:lastPrinted>
  <dcterms:created xsi:type="dcterms:W3CDTF">2025-10-01T04:57:32Z</dcterms:created>
  <dcterms:modified xsi:type="dcterms:W3CDTF">2025-11-15T09:01:27Z</dcterms:modified>
</cp:coreProperties>
</file>